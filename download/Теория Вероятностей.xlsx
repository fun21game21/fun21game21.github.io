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8755" windowHeight="12600" activeTab="1"/>
  </bookViews>
  <sheets>
    <sheet name="Расчёт вероятностей" sheetId="1" r:id="rId1"/>
    <sheet name="Комбинаторика" sheetId="4" r:id="rId2"/>
  </sheets>
  <calcPr calcId="125725"/>
</workbook>
</file>

<file path=xl/calcChain.xml><?xml version="1.0" encoding="utf-8"?>
<calcChain xmlns="http://schemas.openxmlformats.org/spreadsheetml/2006/main">
  <c r="C24" i="4"/>
  <c r="C23"/>
  <c r="C22"/>
  <c r="C17"/>
  <c r="J3"/>
  <c r="O4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3"/>
  <c r="O2"/>
  <c r="M4"/>
  <c r="M5"/>
  <c r="M6" s="1"/>
  <c r="M7" s="1"/>
  <c r="M8" s="1"/>
  <c r="M9" s="1"/>
  <c r="M10" s="1"/>
  <c r="M11" s="1"/>
  <c r="M12" s="1"/>
  <c r="M13" s="1"/>
  <c r="M14" s="1"/>
  <c r="M15" s="1"/>
  <c r="M16" s="1"/>
  <c r="M17" s="1"/>
  <c r="M3"/>
  <c r="M2"/>
  <c r="G4"/>
  <c r="G5"/>
  <c r="G6"/>
  <c r="G7"/>
  <c r="G8"/>
  <c r="G9"/>
  <c r="G10"/>
  <c r="G11"/>
  <c r="G12"/>
  <c r="G3"/>
  <c r="C4"/>
  <c r="C5"/>
  <c r="C6"/>
  <c r="C7"/>
  <c r="C8"/>
  <c r="C9"/>
  <c r="C10"/>
  <c r="C11"/>
  <c r="C12"/>
  <c r="C3"/>
  <c r="C3" i="1"/>
  <c r="C4"/>
  <c r="C5"/>
  <c r="C6"/>
  <c r="C7"/>
  <c r="C2"/>
</calcChain>
</file>

<file path=xl/sharedStrings.xml><?xml version="1.0" encoding="utf-8"?>
<sst xmlns="http://schemas.openxmlformats.org/spreadsheetml/2006/main" count="34" uniqueCount="22">
  <si>
    <t>Общее число исходов испытания</t>
  </si>
  <si>
    <t>Благоприятствующее число исходов испытания</t>
  </si>
  <si>
    <t>Вероятность</t>
  </si>
  <si>
    <t>4.a</t>
  </si>
  <si>
    <t>4.b</t>
  </si>
  <si>
    <t>№ Задачи</t>
  </si>
  <si>
    <t>Пример</t>
  </si>
  <si>
    <t>Сочетания</t>
  </si>
  <si>
    <t>Общее число</t>
  </si>
  <si>
    <t>Число элементов</t>
  </si>
  <si>
    <t>Число сочетаний</t>
  </si>
  <si>
    <t>Размещения</t>
  </si>
  <si>
    <t>Число размещений</t>
  </si>
  <si>
    <t>Перестановки</t>
  </si>
  <si>
    <t>Число перестановок</t>
  </si>
  <si>
    <t>нач</t>
  </si>
  <si>
    <t>Задание 1</t>
  </si>
  <si>
    <t>Вариант 16</t>
  </si>
  <si>
    <t>Задание 2</t>
  </si>
  <si>
    <t>б</t>
  </si>
  <si>
    <t>в</t>
  </si>
  <si>
    <t>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</si>
</sst>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9" sqref="A9"/>
    </sheetView>
  </sheetViews>
  <sheetFormatPr defaultRowHeight="15"/>
  <cols>
    <col min="1" max="1" width="18.7109375" customWidth="1"/>
    <col min="2" max="2" width="21.7109375" customWidth="1"/>
    <col min="3" max="3" width="13.140625" customWidth="1"/>
  </cols>
  <sheetData>
    <row r="1" spans="1:5" ht="45">
      <c r="A1" s="1" t="s">
        <v>0</v>
      </c>
      <c r="B1" s="1" t="s">
        <v>1</v>
      </c>
      <c r="C1" s="1" t="s">
        <v>2</v>
      </c>
      <c r="E1" s="1" t="s">
        <v>5</v>
      </c>
    </row>
    <row r="2" spans="1:5">
      <c r="A2">
        <v>6</v>
      </c>
      <c r="B2">
        <v>2</v>
      </c>
      <c r="C2">
        <f>B2/A2</f>
        <v>0.33333333333333331</v>
      </c>
      <c r="E2" t="s">
        <v>6</v>
      </c>
    </row>
    <row r="3" spans="1:5">
      <c r="A3">
        <v>2</v>
      </c>
      <c r="B3">
        <v>1</v>
      </c>
      <c r="C3">
        <f t="shared" ref="C3:C12" si="0">B3/A3</f>
        <v>0.5</v>
      </c>
      <c r="E3" s="2">
        <v>1</v>
      </c>
    </row>
    <row r="4" spans="1:5">
      <c r="A4">
        <v>9</v>
      </c>
      <c r="B4">
        <v>4</v>
      </c>
      <c r="C4">
        <f t="shared" si="0"/>
        <v>0.44444444444444442</v>
      </c>
      <c r="E4" s="2">
        <v>2</v>
      </c>
    </row>
    <row r="5" spans="1:5">
      <c r="A5">
        <v>20</v>
      </c>
      <c r="B5">
        <v>5</v>
      </c>
      <c r="C5">
        <f t="shared" si="0"/>
        <v>0.25</v>
      </c>
      <c r="E5" s="2">
        <v>3</v>
      </c>
    </row>
    <row r="6" spans="1:5">
      <c r="A6">
        <v>90</v>
      </c>
      <c r="B6">
        <v>1</v>
      </c>
      <c r="C6">
        <f t="shared" si="0"/>
        <v>1.1111111111111112E-2</v>
      </c>
      <c r="E6" s="2" t="s">
        <v>3</v>
      </c>
    </row>
    <row r="7" spans="1:5" ht="15.75" thickBot="1">
      <c r="A7" s="4">
        <v>90</v>
      </c>
      <c r="B7" s="4">
        <v>9</v>
      </c>
      <c r="C7" s="4">
        <f t="shared" si="0"/>
        <v>0.1</v>
      </c>
      <c r="D7" s="4"/>
      <c r="E7" s="5" t="s">
        <v>4</v>
      </c>
    </row>
    <row r="9" spans="1:5">
      <c r="A9" s="3"/>
      <c r="B9" s="3"/>
      <c r="C9" s="3"/>
      <c r="D9" s="3"/>
      <c r="E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"/>
  <sheetViews>
    <sheetView tabSelected="1" zoomScale="85" zoomScaleNormal="85" workbookViewId="0">
      <selection activeCell="B24" sqref="B24"/>
    </sheetView>
  </sheetViews>
  <sheetFormatPr defaultRowHeight="15"/>
  <cols>
    <col min="1" max="1" width="13.28515625" bestFit="1" customWidth="1"/>
    <col min="2" max="2" width="17" bestFit="1" customWidth="1"/>
    <col min="3" max="3" width="21.140625" bestFit="1" customWidth="1"/>
    <col min="5" max="5" width="13.28515625" bestFit="1" customWidth="1"/>
    <col min="6" max="6" width="17" bestFit="1" customWidth="1"/>
    <col min="7" max="7" width="18.85546875" bestFit="1" customWidth="1"/>
    <col min="9" max="9" width="17" bestFit="1" customWidth="1"/>
    <col min="10" max="10" width="20" bestFit="1" customWidth="1"/>
    <col min="13" max="13" width="11.28515625" bestFit="1" customWidth="1"/>
  </cols>
  <sheetData>
    <row r="1" spans="1:15">
      <c r="A1" s="7" t="s">
        <v>7</v>
      </c>
      <c r="B1" s="7"/>
      <c r="C1" s="7"/>
      <c r="E1" s="7" t="s">
        <v>11</v>
      </c>
      <c r="F1" s="7"/>
      <c r="G1" s="7"/>
      <c r="I1" s="7" t="s">
        <v>13</v>
      </c>
      <c r="J1" s="7"/>
      <c r="M1" t="s">
        <v>15</v>
      </c>
      <c r="N1">
        <v>0.1</v>
      </c>
    </row>
    <row r="2" spans="1:15">
      <c r="A2" s="8" t="s">
        <v>8</v>
      </c>
      <c r="B2" s="8" t="s">
        <v>9</v>
      </c>
      <c r="C2" s="8" t="s">
        <v>10</v>
      </c>
      <c r="E2" s="8" t="s">
        <v>8</v>
      </c>
      <c r="F2" s="8" t="s">
        <v>9</v>
      </c>
      <c r="G2" s="8" t="s">
        <v>12</v>
      </c>
      <c r="I2" s="8" t="s">
        <v>9</v>
      </c>
      <c r="J2" s="8" t="s">
        <v>14</v>
      </c>
      <c r="M2">
        <f>N1*2</f>
        <v>0.2</v>
      </c>
      <c r="N2">
        <v>1</v>
      </c>
      <c r="O2">
        <f>N1+M2</f>
        <v>0.30000000000000004</v>
      </c>
    </row>
    <row r="3" spans="1:15">
      <c r="A3">
        <v>7</v>
      </c>
      <c r="B3">
        <v>3</v>
      </c>
      <c r="C3">
        <f>COMBIN(A3,B3)</f>
        <v>35</v>
      </c>
      <c r="E3">
        <v>13</v>
      </c>
      <c r="F3">
        <v>4</v>
      </c>
      <c r="G3">
        <f>PERMUT(E3,F3)</f>
        <v>17160</v>
      </c>
      <c r="I3">
        <v>5</v>
      </c>
      <c r="J3">
        <f>PERMUT(I3,I3)</f>
        <v>120</v>
      </c>
      <c r="M3">
        <f>M2*2</f>
        <v>0.4</v>
      </c>
      <c r="N3">
        <v>2</v>
      </c>
      <c r="O3">
        <f>O2+M3</f>
        <v>0.70000000000000007</v>
      </c>
    </row>
    <row r="4" spans="1:15">
      <c r="C4">
        <f t="shared" ref="C4:C12" si="0">COMBIN(A4,B4)</f>
        <v>1</v>
      </c>
      <c r="G4">
        <f t="shared" ref="G4:G12" si="1">PERMUT(E4,F4)</f>
        <v>1</v>
      </c>
      <c r="M4">
        <f t="shared" ref="M4:M17" si="2">M3*2</f>
        <v>0.8</v>
      </c>
      <c r="N4">
        <v>3</v>
      </c>
      <c r="O4">
        <f t="shared" ref="O4:O17" si="3">O3+M4</f>
        <v>1.5</v>
      </c>
    </row>
    <row r="5" spans="1:15">
      <c r="C5">
        <f t="shared" si="0"/>
        <v>1</v>
      </c>
      <c r="G5">
        <f t="shared" si="1"/>
        <v>1</v>
      </c>
      <c r="M5">
        <f t="shared" si="2"/>
        <v>1.6</v>
      </c>
      <c r="N5">
        <v>4</v>
      </c>
      <c r="O5">
        <f t="shared" si="3"/>
        <v>3.1</v>
      </c>
    </row>
    <row r="6" spans="1:15">
      <c r="C6">
        <f t="shared" si="0"/>
        <v>1</v>
      </c>
      <c r="G6">
        <f t="shared" si="1"/>
        <v>1</v>
      </c>
      <c r="M6">
        <f t="shared" si="2"/>
        <v>3.2</v>
      </c>
      <c r="N6">
        <v>5</v>
      </c>
      <c r="O6">
        <f t="shared" si="3"/>
        <v>6.3000000000000007</v>
      </c>
    </row>
    <row r="7" spans="1:15">
      <c r="C7">
        <f t="shared" si="0"/>
        <v>1</v>
      </c>
      <c r="G7">
        <f t="shared" si="1"/>
        <v>1</v>
      </c>
      <c r="M7">
        <f t="shared" si="2"/>
        <v>6.4</v>
      </c>
      <c r="N7">
        <v>6</v>
      </c>
      <c r="O7">
        <f t="shared" si="3"/>
        <v>12.700000000000001</v>
      </c>
    </row>
    <row r="8" spans="1:15">
      <c r="C8">
        <f t="shared" si="0"/>
        <v>1</v>
      </c>
      <c r="G8">
        <f t="shared" si="1"/>
        <v>1</v>
      </c>
      <c r="M8">
        <f t="shared" si="2"/>
        <v>12.8</v>
      </c>
      <c r="N8">
        <v>7</v>
      </c>
      <c r="O8">
        <f t="shared" si="3"/>
        <v>25.5</v>
      </c>
    </row>
    <row r="9" spans="1:15">
      <c r="C9">
        <f t="shared" si="0"/>
        <v>1</v>
      </c>
      <c r="G9">
        <f t="shared" si="1"/>
        <v>1</v>
      </c>
      <c r="M9">
        <f t="shared" si="2"/>
        <v>25.6</v>
      </c>
      <c r="N9">
        <v>8</v>
      </c>
      <c r="O9">
        <f t="shared" si="3"/>
        <v>51.1</v>
      </c>
    </row>
    <row r="10" spans="1:15">
      <c r="C10">
        <f t="shared" si="0"/>
        <v>1</v>
      </c>
      <c r="G10">
        <f t="shared" si="1"/>
        <v>1</v>
      </c>
      <c r="M10">
        <f t="shared" si="2"/>
        <v>51.2</v>
      </c>
      <c r="N10">
        <v>9</v>
      </c>
      <c r="O10">
        <f t="shared" si="3"/>
        <v>102.30000000000001</v>
      </c>
    </row>
    <row r="11" spans="1:15">
      <c r="C11">
        <f t="shared" si="0"/>
        <v>1</v>
      </c>
      <c r="G11">
        <f t="shared" si="1"/>
        <v>1</v>
      </c>
      <c r="M11">
        <f t="shared" si="2"/>
        <v>102.4</v>
      </c>
      <c r="N11">
        <v>10</v>
      </c>
      <c r="O11">
        <f t="shared" si="3"/>
        <v>204.70000000000002</v>
      </c>
    </row>
    <row r="12" spans="1:15">
      <c r="C12">
        <f t="shared" si="0"/>
        <v>1</v>
      </c>
      <c r="G12">
        <f t="shared" si="1"/>
        <v>1</v>
      </c>
      <c r="M12">
        <f t="shared" si="2"/>
        <v>204.8</v>
      </c>
      <c r="N12">
        <v>11</v>
      </c>
      <c r="O12">
        <f t="shared" si="3"/>
        <v>409.5</v>
      </c>
    </row>
    <row r="13" spans="1:15">
      <c r="M13">
        <f t="shared" si="2"/>
        <v>409.6</v>
      </c>
      <c r="N13">
        <v>12</v>
      </c>
      <c r="O13">
        <f t="shared" si="3"/>
        <v>819.1</v>
      </c>
    </row>
    <row r="14" spans="1:15">
      <c r="A14" s="11" t="s">
        <v>16</v>
      </c>
      <c r="B14" s="11" t="s">
        <v>17</v>
      </c>
      <c r="C14" s="11"/>
      <c r="M14">
        <f t="shared" si="2"/>
        <v>819.2</v>
      </c>
      <c r="N14">
        <v>13</v>
      </c>
      <c r="O14">
        <f t="shared" si="3"/>
        <v>1638.3000000000002</v>
      </c>
    </row>
    <row r="15" spans="1:15">
      <c r="A15" s="10" t="s">
        <v>7</v>
      </c>
      <c r="B15" s="10"/>
      <c r="C15" s="10"/>
      <c r="M15">
        <f t="shared" si="2"/>
        <v>1638.4</v>
      </c>
      <c r="N15">
        <v>14</v>
      </c>
      <c r="O15">
        <f t="shared" si="3"/>
        <v>3276.7000000000003</v>
      </c>
    </row>
    <row r="16" spans="1:15">
      <c r="A16" s="11" t="s">
        <v>8</v>
      </c>
      <c r="B16" s="11" t="s">
        <v>9</v>
      </c>
      <c r="C16" s="11" t="s">
        <v>10</v>
      </c>
      <c r="M16">
        <f t="shared" si="2"/>
        <v>3276.8</v>
      </c>
      <c r="N16">
        <v>15</v>
      </c>
      <c r="O16">
        <f t="shared" si="3"/>
        <v>6553.5</v>
      </c>
    </row>
    <row r="17" spans="1:15">
      <c r="A17">
        <v>30</v>
      </c>
      <c r="B17">
        <v>12</v>
      </c>
      <c r="C17" s="9">
        <f>COMBIN(A17,B17)</f>
        <v>86493225.000000015</v>
      </c>
      <c r="M17">
        <f t="shared" si="2"/>
        <v>6553.6</v>
      </c>
      <c r="N17">
        <v>16</v>
      </c>
      <c r="O17">
        <f t="shared" si="3"/>
        <v>13107.1</v>
      </c>
    </row>
    <row r="19" spans="1:15">
      <c r="A19" t="s">
        <v>18</v>
      </c>
      <c r="B19" t="s">
        <v>17</v>
      </c>
    </row>
    <row r="20" spans="1:15">
      <c r="A20" s="6" t="s">
        <v>7</v>
      </c>
      <c r="B20" s="6"/>
      <c r="C20" s="6"/>
    </row>
    <row r="21" spans="1:15">
      <c r="A21" s="11" t="s">
        <v>8</v>
      </c>
      <c r="B21" s="11" t="s">
        <v>9</v>
      </c>
      <c r="C21" s="11" t="s">
        <v>10</v>
      </c>
    </row>
    <row r="22" spans="1:15">
      <c r="A22">
        <v>11</v>
      </c>
      <c r="B22">
        <v>4</v>
      </c>
      <c r="C22">
        <f>COMBIN(A22,B22)</f>
        <v>330</v>
      </c>
      <c r="D22" s="11" t="s">
        <v>21</v>
      </c>
    </row>
    <row r="23" spans="1:15">
      <c r="A23">
        <v>11</v>
      </c>
      <c r="B23">
        <v>4</v>
      </c>
      <c r="C23">
        <f>COMBIN(A23,B23)</f>
        <v>330</v>
      </c>
      <c r="D23" s="11" t="s">
        <v>19</v>
      </c>
    </row>
    <row r="24" spans="1:15">
      <c r="A24">
        <v>11</v>
      </c>
      <c r="B24">
        <v>1</v>
      </c>
      <c r="C24">
        <f>COMBIN(A24,B24)</f>
        <v>11</v>
      </c>
      <c r="D24" s="11" t="s">
        <v>20</v>
      </c>
    </row>
  </sheetData>
  <mergeCells count="5">
    <mergeCell ref="E1:G1"/>
    <mergeCell ref="I1:J1"/>
    <mergeCell ref="A1:C1"/>
    <mergeCell ref="A15:C15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Расчёт вероятностей</vt:lpstr>
      <vt:lpstr>Комбинаторика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j-classroom</dc:creator>
  <cp:lastModifiedBy>j-classroom</cp:lastModifiedBy>
  <dcterms:created xsi:type="dcterms:W3CDTF">2026-02-24T05:26:03Z</dcterms:created>
  <dcterms:modified xsi:type="dcterms:W3CDTF">2026-02-24T06:39:55Z</dcterms:modified>
</cp:coreProperties>
</file>